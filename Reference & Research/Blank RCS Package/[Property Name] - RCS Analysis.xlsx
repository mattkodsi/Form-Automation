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matthewkodsi/Desktop/github/Form-Automation/Blank RCS Package/"/>
    </mc:Choice>
  </mc:AlternateContent>
  <xr:revisionPtr revIDLastSave="0" documentId="13_ncr:1_{18B2EC2B-3CD5-D249-AA3C-F9A631173A81}" xr6:coauthVersionLast="47" xr6:coauthVersionMax="47" xr10:uidLastSave="{00000000-0000-0000-0000-000000000000}"/>
  <bookViews>
    <workbookView xWindow="0" yWindow="500" windowWidth="28800" windowHeight="16720" xr2:uid="{D5470F75-415F-4671-8922-D3D23058217C}"/>
  </bookViews>
  <sheets>
    <sheet name="Rent Grid" sheetId="2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" i="2" l="1"/>
  <c r="V15" i="2" s="1"/>
  <c r="U14" i="2"/>
  <c r="V14" i="2" s="1"/>
  <c r="U13" i="2"/>
  <c r="V13" i="2" s="1"/>
  <c r="U12" i="2"/>
  <c r="V12" i="2" s="1"/>
  <c r="U11" i="2"/>
  <c r="U10" i="2"/>
  <c r="V10" i="2" s="1"/>
  <c r="T20" i="2"/>
  <c r="P20" i="2"/>
  <c r="Q20" i="2"/>
  <c r="R20" i="2"/>
  <c r="L20" i="2"/>
  <c r="M20" i="2"/>
  <c r="I20" i="2"/>
  <c r="J20" i="2"/>
  <c r="R15" i="2"/>
  <c r="Q14" i="2"/>
  <c r="R14" i="2" s="1"/>
  <c r="Q13" i="2"/>
  <c r="R13" i="2" s="1"/>
  <c r="Q12" i="2"/>
  <c r="R12" i="2" s="1"/>
  <c r="R11" i="2"/>
  <c r="Q11" i="2"/>
  <c r="R10" i="2"/>
  <c r="Q10" i="2"/>
  <c r="M14" i="2"/>
  <c r="L14" i="2"/>
  <c r="M13" i="2"/>
  <c r="L13" i="2"/>
  <c r="M12" i="2"/>
  <c r="L12" i="2"/>
  <c r="M11" i="2"/>
  <c r="L11" i="2"/>
  <c r="M10" i="2"/>
  <c r="L10" i="2"/>
  <c r="J14" i="2"/>
  <c r="I14" i="2"/>
  <c r="J13" i="2"/>
  <c r="I13" i="2"/>
  <c r="J12" i="2"/>
  <c r="I12" i="2"/>
  <c r="J11" i="2"/>
  <c r="I11" i="2"/>
  <c r="J10" i="2"/>
  <c r="I10" i="2"/>
  <c r="F14" i="2"/>
  <c r="F13" i="2"/>
  <c r="F12" i="2"/>
  <c r="F11" i="2"/>
  <c r="F10" i="2"/>
  <c r="U19" i="2"/>
  <c r="V19" i="2" s="1"/>
  <c r="Q19" i="2"/>
  <c r="R19" i="2" s="1"/>
  <c r="J19" i="2"/>
  <c r="M19" i="2" s="1"/>
  <c r="I19" i="2"/>
  <c r="L19" i="2" s="1"/>
  <c r="F19" i="2"/>
  <c r="U18" i="2"/>
  <c r="V18" i="2" s="1"/>
  <c r="Q18" i="2"/>
  <c r="R18" i="2" s="1"/>
  <c r="J18" i="2"/>
  <c r="M18" i="2" s="1"/>
  <c r="I18" i="2"/>
  <c r="L18" i="2" s="1"/>
  <c r="F18" i="2"/>
  <c r="U17" i="2"/>
  <c r="V17" i="2" s="1"/>
  <c r="Q17" i="2"/>
  <c r="R17" i="2" s="1"/>
  <c r="J17" i="2"/>
  <c r="M17" i="2" s="1"/>
  <c r="I17" i="2"/>
  <c r="L17" i="2" s="1"/>
  <c r="F17" i="2"/>
  <c r="U16" i="2"/>
  <c r="V16" i="2" s="1"/>
  <c r="Q16" i="2"/>
  <c r="R16" i="2" s="1"/>
  <c r="J16" i="2"/>
  <c r="M16" i="2" s="1"/>
  <c r="I16" i="2"/>
  <c r="L16" i="2" s="1"/>
  <c r="F16" i="2"/>
  <c r="Q15" i="2"/>
  <c r="J15" i="2"/>
  <c r="M15" i="2" s="1"/>
  <c r="I15" i="2"/>
  <c r="L15" i="2" s="1"/>
  <c r="F15" i="2"/>
  <c r="J9" i="2"/>
  <c r="U9" i="2"/>
  <c r="V9" i="2" s="1"/>
  <c r="Q9" i="2"/>
  <c r="R9" i="2" s="1"/>
  <c r="I9" i="2"/>
  <c r="L9" i="2" s="1"/>
  <c r="F9" i="2"/>
  <c r="U20" i="2" l="1"/>
  <c r="V11" i="2"/>
  <c r="V20" i="2" s="1"/>
  <c r="R23" i="2" s="1"/>
  <c r="M9" i="2"/>
  <c r="M22" i="2" l="1"/>
  <c r="M23" i="2" s="1"/>
  <c r="J22" i="2"/>
  <c r="J23" i="2" s="1"/>
  <c r="R22" i="2"/>
  <c r="R24" i="2" s="1"/>
</calcChain>
</file>

<file path=xl/sharedStrings.xml><?xml version="1.0" encoding="utf-8"?>
<sst xmlns="http://schemas.openxmlformats.org/spreadsheetml/2006/main" count="32" uniqueCount="25">
  <si>
    <t>RCS Grid Analysis</t>
  </si>
  <si>
    <t>Impact Analysis</t>
  </si>
  <si>
    <t>As Is 150% SAFMR TEST</t>
  </si>
  <si>
    <t>Current Rent Schedule</t>
  </si>
  <si>
    <t>Proposed</t>
  </si>
  <si>
    <t>Monthly</t>
  </si>
  <si>
    <t>Annual</t>
  </si>
  <si>
    <t>Unit Type</t>
  </si>
  <si>
    <t>Units</t>
  </si>
  <si>
    <t>Current Rent</t>
  </si>
  <si>
    <t>RCS Rents*</t>
  </si>
  <si>
    <t>Delta</t>
  </si>
  <si>
    <t>Current GPR</t>
  </si>
  <si>
    <t>RCS GPR</t>
  </si>
  <si>
    <t>UA</t>
  </si>
  <si>
    <t>RCS Rents + UA</t>
  </si>
  <si>
    <t>RCS + UA GPR</t>
  </si>
  <si>
    <t>SAFMR</t>
  </si>
  <si>
    <t>150% SAFMR</t>
  </si>
  <si>
    <t xml:space="preserve"> 150% SAFMR GPR</t>
  </si>
  <si>
    <t>Delta ($)</t>
  </si>
  <si>
    <t>Delta (%)</t>
  </si>
  <si>
    <t>150% SAFMR GPR</t>
  </si>
  <si>
    <t>Below 150%?</t>
  </si>
  <si>
    <r>
      <rPr>
        <b/>
        <sz val="16"/>
        <color rgb="FFFF0000"/>
        <rFont val="Aptos Narrow"/>
        <family val="2"/>
        <scheme val="minor"/>
      </rPr>
      <t>[Property Name]</t>
    </r>
    <r>
      <rPr>
        <b/>
        <sz val="16"/>
        <color theme="0"/>
        <rFont val="Aptos Narrow"/>
        <family val="2"/>
        <scheme val="minor"/>
      </rPr>
      <t xml:space="preserve"> - </t>
    </r>
    <r>
      <rPr>
        <b/>
        <sz val="16"/>
        <color rgb="FFFF0000"/>
        <rFont val="Aptos Narrow"/>
        <family val="2"/>
        <scheme val="minor"/>
      </rPr>
      <t>[Appraisal Company]</t>
    </r>
    <r>
      <rPr>
        <b/>
        <sz val="16"/>
        <color theme="0"/>
        <rFont val="Aptos Narrow"/>
        <family val="2"/>
        <scheme val="minor"/>
      </rPr>
      <t xml:space="preserve"> Rent Grid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</si>
</sst>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6" formatCode="0.0%"/>
  </numFmts>
  <fonts count="17" x14ac:knownFonts="1"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i/>
      <sz val="8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i/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0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  <xf numFmtId="0" fontId="13" fillId="4" borderId="5" xfId="0" applyFont="1" applyFill="1" applyBorder="1" applyAlignment="1">
      <alignment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 wrapText="1"/>
    </xf>
    <xf numFmtId="164" fontId="13" fillId="4" borderId="5" xfId="0" applyNumberFormat="1" applyFont="1" applyFill="1" applyBorder="1" applyAlignment="1">
      <alignment horizontal="center" vertical="center" wrapText="1"/>
    </xf>
    <xf numFmtId="164" fontId="13" fillId="4" borderId="5" xfId="0" applyNumberFormat="1" applyFont="1" applyFill="1" applyBorder="1" applyAlignment="1">
      <alignment horizontal="center" vertical="center"/>
    </xf>
    <xf numFmtId="0" fontId="13" fillId="0" borderId="0" xfId="0" applyFont="1"/>
    <xf numFmtId="0" fontId="10" fillId="0" borderId="0" xfId="0" applyFont="1" applyAlignment="1">
      <alignment horizontal="center"/>
    </xf>
    <xf numFmtId="164" fontId="10" fillId="0" borderId="9" xfId="0" applyNumberFormat="1" applyFont="1" applyBorder="1"/>
    <xf numFmtId="166" fontId="10" fillId="0" borderId="0" xfId="0" applyNumberFormat="1" applyFont="1"/>
    <xf numFmtId="166" fontId="10" fillId="0" borderId="9" xfId="0" applyNumberFormat="1" applyFont="1" applyBorder="1"/>
    <xf numFmtId="164" fontId="10" fillId="0" borderId="0" xfId="0" applyNumberFormat="1" applyFont="1"/>
    <xf numFmtId="9" fontId="13" fillId="0" borderId="0" xfId="0" applyNumberFormat="1" applyFont="1"/>
    <xf numFmtId="0" fontId="12" fillId="0" borderId="0" xfId="0" applyFont="1"/>
    <xf numFmtId="166" fontId="13" fillId="5" borderId="9" xfId="0" applyNumberFormat="1" applyFont="1" applyFill="1" applyBorder="1"/>
    <xf numFmtId="0" fontId="14" fillId="0" borderId="10" xfId="0" applyFont="1" applyBorder="1" applyAlignment="1">
      <alignment horizontal="center"/>
    </xf>
    <xf numFmtId="165" fontId="14" fillId="0" borderId="10" xfId="0" applyNumberFormat="1" applyFont="1" applyBorder="1" applyAlignment="1">
      <alignment horizontal="center"/>
    </xf>
    <xf numFmtId="165" fontId="14" fillId="0" borderId="9" xfId="0" applyNumberFormat="1" applyFont="1" applyBorder="1" applyAlignment="1">
      <alignment horizontal="center"/>
    </xf>
    <xf numFmtId="165" fontId="14" fillId="0" borderId="11" xfId="0" applyNumberFormat="1" applyFont="1" applyBorder="1" applyAlignment="1">
      <alignment horizontal="center"/>
    </xf>
    <xf numFmtId="165" fontId="14" fillId="0" borderId="10" xfId="0" applyNumberFormat="1" applyFont="1" applyBorder="1"/>
    <xf numFmtId="165" fontId="14" fillId="0" borderId="9" xfId="0" applyNumberFormat="1" applyFont="1" applyBorder="1"/>
    <xf numFmtId="165" fontId="14" fillId="0" borderId="11" xfId="0" applyNumberFormat="1" applyFont="1" applyBorder="1"/>
    <xf numFmtId="165" fontId="15" fillId="0" borderId="10" xfId="0" applyNumberFormat="1" applyFont="1" applyBorder="1" applyAlignment="1">
      <alignment horizontal="right"/>
    </xf>
    <xf numFmtId="165" fontId="14" fillId="0" borderId="10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165" fontId="1" fillId="0" borderId="0" xfId="0" applyNumberFormat="1" applyFont="1"/>
    <xf numFmtId="165" fontId="1" fillId="0" borderId="10" xfId="0" applyNumberFormat="1" applyFont="1" applyBorder="1"/>
    <xf numFmtId="165" fontId="1" fillId="0" borderId="9" xfId="0" applyNumberFormat="1" applyFont="1" applyBorder="1"/>
    <xf numFmtId="165" fontId="1" fillId="0" borderId="11" xfId="0" applyNumberFormat="1" applyFont="1" applyBorder="1"/>
    <xf numFmtId="165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right"/>
    </xf>
    <xf numFmtId="165" fontId="13" fillId="0" borderId="10" xfId="0" applyNumberFormat="1" applyFont="1" applyBorder="1"/>
    <xf numFmtId="165" fontId="13" fillId="0" borderId="0" xfId="0" applyNumberFormat="1" applyFont="1"/>
    <xf numFmtId="165" fontId="1" fillId="5" borderId="9" xfId="0" applyNumberFormat="1" applyFont="1" applyFill="1" applyBorder="1"/>
    <xf numFmtId="166" fontId="1" fillId="0" borderId="9" xfId="0" applyNumberFormat="1" applyFont="1" applyBorder="1"/>
    <xf numFmtId="0" fontId="1" fillId="0" borderId="9" xfId="0" applyFont="1" applyBorder="1" applyAlignment="1">
      <alignment horizontal="center"/>
    </xf>
    <xf numFmtId="9" fontId="1" fillId="0" borderId="0" xfId="1" applyFont="1"/>
    <xf numFmtId="2" fontId="1" fillId="0" borderId="0" xfId="0" applyNumberFormat="1" applyFont="1"/>
    <xf numFmtId="164" fontId="10" fillId="0" borderId="2" xfId="0" applyNumberFormat="1" applyFont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166" fontId="10" fillId="0" borderId="2" xfId="0" applyNumberFormat="1" applyFont="1" applyBorder="1" applyAlignment="1">
      <alignment horizontal="center"/>
    </xf>
    <xf numFmtId="166" fontId="10" fillId="0" borderId="4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164" fontId="9" fillId="3" borderId="2" xfId="0" applyNumberFormat="1" applyFont="1" applyFill="1" applyBorder="1" applyAlignment="1">
      <alignment horizontal="center"/>
    </xf>
    <xf numFmtId="164" fontId="9" fillId="3" borderId="4" xfId="0" applyNumberFormat="1" applyFont="1" applyFill="1" applyBorder="1" applyAlignment="1">
      <alignment horizontal="center"/>
    </xf>
    <xf numFmtId="164" fontId="9" fillId="3" borderId="9" xfId="0" applyNumberFormat="1" applyFont="1" applyFill="1" applyBorder="1" applyAlignment="1">
      <alignment horizontal="center"/>
    </xf>
    <xf numFmtId="164" fontId="9" fillId="3" borderId="3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2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FE12D-7C7A-473D-8EEE-ADAF999FB9C0}">
  <dimension ref="B1:Z54"/>
  <sheetViews>
    <sheetView showGridLines="0" tabSelected="1" workbookViewId="0">
      <selection activeCell="L20" sqref="L20"/>
    </sheetView>
  </sheetViews>
  <sheetFormatPr baseColWidth="10" defaultColWidth="9" defaultRowHeight="15" x14ac:dyDescent="0.2"/>
  <cols>
    <col min="1" max="1" width="4.83203125" style="31" customWidth="1"/>
    <col min="2" max="2" width="9.33203125" style="31" bestFit="1" customWidth="1"/>
    <col min="3" max="3" width="8.6640625" style="30"/>
    <col min="4" max="4" width="10.6640625" style="30" bestFit="1" customWidth="1"/>
    <col min="5" max="5" width="9.33203125" style="30" bestFit="1" customWidth="1"/>
    <col min="6" max="6" width="9.33203125" style="30" customWidth="1"/>
    <col min="7" max="8" width="2.33203125" style="31" customWidth="1"/>
    <col min="9" max="9" width="11.6640625" style="32" bestFit="1" customWidth="1"/>
    <col min="10" max="10" width="12.1640625" style="32" bestFit="1" customWidth="1"/>
    <col min="11" max="11" width="2.33203125" style="31" customWidth="1"/>
    <col min="12" max="12" width="16.1640625" style="31" bestFit="1" customWidth="1"/>
    <col min="13" max="13" width="12.1640625" style="31" bestFit="1" customWidth="1"/>
    <col min="14" max="15" width="2.33203125" style="31" customWidth="1"/>
    <col min="16" max="16" width="7.6640625" style="31" customWidth="1"/>
    <col min="17" max="17" width="8.6640625" style="31" customWidth="1"/>
    <col min="18" max="18" width="9.6640625" style="31" customWidth="1"/>
    <col min="19" max="19" width="2.33203125" style="31" customWidth="1"/>
    <col min="20" max="20" width="8" style="31" customWidth="1"/>
    <col min="21" max="21" width="8.6640625" style="31" customWidth="1"/>
    <col min="22" max="22" width="8.33203125" style="31" customWidth="1"/>
    <col min="23" max="23" width="1.83203125" style="31" customWidth="1"/>
    <col min="24" max="24" width="9" style="31"/>
    <col min="25" max="26" width="8" style="31" customWidth="1"/>
    <col min="27" max="16384" width="9" style="31"/>
  </cols>
  <sheetData>
    <row r="1" spans="2:26" x14ac:dyDescent="0.2">
      <c r="B1" s="1"/>
      <c r="M1" s="2"/>
    </row>
    <row r="2" spans="2:26" x14ac:dyDescent="0.2">
      <c r="M2" s="33"/>
    </row>
    <row r="3" spans="2:26" ht="22" x14ac:dyDescent="0.2">
      <c r="B3" s="54" t="s">
        <v>24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3"/>
      <c r="O3" s="3"/>
    </row>
    <row r="5" spans="2:26" s="4" customFormat="1" ht="20" thickBot="1" x14ac:dyDescent="0.25">
      <c r="B5" s="56" t="s">
        <v>0</v>
      </c>
      <c r="C5" s="57"/>
      <c r="D5" s="57"/>
      <c r="E5" s="57"/>
      <c r="F5" s="58"/>
      <c r="I5" s="59" t="s">
        <v>1</v>
      </c>
      <c r="J5" s="59"/>
      <c r="K5" s="59"/>
      <c r="L5" s="59"/>
      <c r="M5" s="59"/>
      <c r="N5" s="31"/>
      <c r="P5" s="60" t="s">
        <v>2</v>
      </c>
      <c r="Q5" s="61"/>
      <c r="R5" s="61"/>
      <c r="S5" s="61"/>
      <c r="T5" s="61"/>
      <c r="U5" s="61"/>
      <c r="V5" s="62"/>
    </row>
    <row r="6" spans="2:26" s="4" customFormat="1" ht="19" x14ac:dyDescent="0.2">
      <c r="B6" s="31"/>
      <c r="C6" s="31"/>
      <c r="D6" s="31"/>
      <c r="E6" s="31"/>
      <c r="F6" s="31"/>
      <c r="N6" s="31"/>
    </row>
    <row r="7" spans="2:26" s="5" customFormat="1" x14ac:dyDescent="0.2">
      <c r="B7" s="63" t="s">
        <v>3</v>
      </c>
      <c r="C7" s="64"/>
      <c r="D7" s="65"/>
      <c r="E7" s="66" t="s">
        <v>4</v>
      </c>
      <c r="F7" s="67"/>
      <c r="I7" s="68" t="s">
        <v>5</v>
      </c>
      <c r="J7" s="68"/>
      <c r="K7" s="6"/>
      <c r="L7" s="68" t="s">
        <v>6</v>
      </c>
      <c r="M7" s="68"/>
      <c r="N7" s="31"/>
      <c r="P7" s="66" t="s">
        <v>5</v>
      </c>
      <c r="Q7" s="69"/>
      <c r="R7" s="67"/>
      <c r="T7" s="66" t="s">
        <v>5</v>
      </c>
      <c r="U7" s="69"/>
      <c r="V7" s="67"/>
      <c r="Z7" s="19"/>
    </row>
    <row r="8" spans="2:26" ht="49" thickBot="1" x14ac:dyDescent="0.25">
      <c r="B8" s="7" t="s">
        <v>7</v>
      </c>
      <c r="C8" s="8" t="s">
        <v>8</v>
      </c>
      <c r="D8" s="9" t="s">
        <v>9</v>
      </c>
      <c r="E8" s="9" t="s">
        <v>10</v>
      </c>
      <c r="F8" s="9" t="s">
        <v>11</v>
      </c>
      <c r="G8" s="34"/>
      <c r="H8" s="34"/>
      <c r="I8" s="10" t="s">
        <v>12</v>
      </c>
      <c r="J8" s="11" t="s">
        <v>13</v>
      </c>
      <c r="L8" s="10" t="s">
        <v>12</v>
      </c>
      <c r="M8" s="11" t="s">
        <v>13</v>
      </c>
      <c r="P8" s="11" t="s">
        <v>14</v>
      </c>
      <c r="Q8" s="10" t="s">
        <v>15</v>
      </c>
      <c r="R8" s="10" t="s">
        <v>16</v>
      </c>
      <c r="T8" s="10" t="s">
        <v>17</v>
      </c>
      <c r="U8" s="10" t="s">
        <v>18</v>
      </c>
      <c r="V8" s="10" t="s">
        <v>19</v>
      </c>
      <c r="Y8" s="30"/>
    </row>
    <row r="9" spans="2:26" x14ac:dyDescent="0.2">
      <c r="B9" s="21"/>
      <c r="C9" s="21"/>
      <c r="D9" s="29"/>
      <c r="E9" s="29"/>
      <c r="F9" s="28">
        <f>E9-D9</f>
        <v>0</v>
      </c>
      <c r="G9" s="35"/>
      <c r="H9" s="35"/>
      <c r="I9" s="36">
        <f>D9*$C9</f>
        <v>0</v>
      </c>
      <c r="J9" s="36">
        <f>E9*$C9</f>
        <v>0</v>
      </c>
      <c r="K9" s="35"/>
      <c r="L9" s="36">
        <f t="shared" ref="L9:M14" si="0">I9*12</f>
        <v>0</v>
      </c>
      <c r="M9" s="36">
        <f t="shared" si="0"/>
        <v>0</v>
      </c>
      <c r="P9" s="22"/>
      <c r="Q9" s="36">
        <f>P9+E9</f>
        <v>0</v>
      </c>
      <c r="R9" s="36">
        <f t="shared" ref="R9" si="1">Q9*C9</f>
        <v>0</v>
      </c>
      <c r="T9" s="25"/>
      <c r="U9" s="36">
        <f>T9*150%</f>
        <v>0</v>
      </c>
      <c r="V9" s="36">
        <f t="shared" ref="V9:V14" si="2">U9*C9</f>
        <v>0</v>
      </c>
      <c r="X9" s="35"/>
    </row>
    <row r="10" spans="2:26" x14ac:dyDescent="0.2">
      <c r="B10" s="21"/>
      <c r="C10" s="21"/>
      <c r="D10" s="29"/>
      <c r="E10" s="29"/>
      <c r="F10" s="28">
        <f t="shared" ref="F10:F14" si="3">E10-D10</f>
        <v>0</v>
      </c>
      <c r="G10" s="35"/>
      <c r="H10" s="35"/>
      <c r="I10" s="36">
        <f t="shared" ref="I10:I15" si="4">D10*$C10</f>
        <v>0</v>
      </c>
      <c r="J10" s="36">
        <f t="shared" ref="J10:J15" si="5">E10*$C10</f>
        <v>0</v>
      </c>
      <c r="K10" s="35"/>
      <c r="L10" s="36">
        <f t="shared" si="0"/>
        <v>0</v>
      </c>
      <c r="M10" s="36">
        <f t="shared" si="0"/>
        <v>0</v>
      </c>
      <c r="P10" s="22"/>
      <c r="Q10" s="36">
        <f t="shared" ref="Q10" si="6">P10+E10</f>
        <v>0</v>
      </c>
      <c r="R10" s="36">
        <f>Q10*C10</f>
        <v>0</v>
      </c>
      <c r="T10" s="25"/>
      <c r="U10" s="36">
        <f t="shared" ref="U10:U14" si="7">T10*150%</f>
        <v>0</v>
      </c>
      <c r="V10" s="36">
        <f t="shared" si="2"/>
        <v>0</v>
      </c>
    </row>
    <row r="11" spans="2:26" x14ac:dyDescent="0.2">
      <c r="B11" s="21"/>
      <c r="C11" s="21"/>
      <c r="D11" s="29"/>
      <c r="E11" s="29"/>
      <c r="F11" s="28">
        <f t="shared" si="3"/>
        <v>0</v>
      </c>
      <c r="G11" s="35"/>
      <c r="H11" s="35"/>
      <c r="I11" s="36">
        <f t="shared" si="4"/>
        <v>0</v>
      </c>
      <c r="J11" s="36">
        <f t="shared" si="5"/>
        <v>0</v>
      </c>
      <c r="K11" s="35"/>
      <c r="L11" s="36">
        <f t="shared" si="0"/>
        <v>0</v>
      </c>
      <c r="M11" s="36">
        <f t="shared" si="0"/>
        <v>0</v>
      </c>
      <c r="P11" s="22"/>
      <c r="Q11" s="36">
        <f t="shared" ref="Q11" si="8">P11+E11</f>
        <v>0</v>
      </c>
      <c r="R11" s="36">
        <f>Q11*C11</f>
        <v>0</v>
      </c>
      <c r="T11" s="25"/>
      <c r="U11" s="36">
        <f t="shared" si="7"/>
        <v>0</v>
      </c>
      <c r="V11" s="36">
        <f t="shared" si="2"/>
        <v>0</v>
      </c>
    </row>
    <row r="12" spans="2:26" x14ac:dyDescent="0.2">
      <c r="B12" s="21"/>
      <c r="C12" s="21"/>
      <c r="D12" s="29"/>
      <c r="E12" s="29"/>
      <c r="F12" s="28">
        <f t="shared" si="3"/>
        <v>0</v>
      </c>
      <c r="G12" s="35"/>
      <c r="H12" s="35"/>
      <c r="I12" s="36">
        <f t="shared" si="4"/>
        <v>0</v>
      </c>
      <c r="J12" s="36">
        <f t="shared" si="5"/>
        <v>0</v>
      </c>
      <c r="K12" s="35"/>
      <c r="L12" s="36">
        <f t="shared" si="0"/>
        <v>0</v>
      </c>
      <c r="M12" s="36">
        <f t="shared" si="0"/>
        <v>0</v>
      </c>
      <c r="P12" s="22"/>
      <c r="Q12" s="36">
        <f t="shared" ref="Q12" si="9">P12+E12</f>
        <v>0</v>
      </c>
      <c r="R12" s="36">
        <f>Q12*C12</f>
        <v>0</v>
      </c>
      <c r="T12" s="25"/>
      <c r="U12" s="36">
        <f t="shared" si="7"/>
        <v>0</v>
      </c>
      <c r="V12" s="36">
        <f t="shared" si="2"/>
        <v>0</v>
      </c>
    </row>
    <row r="13" spans="2:26" x14ac:dyDescent="0.2">
      <c r="B13" s="21"/>
      <c r="C13" s="21"/>
      <c r="D13" s="29"/>
      <c r="E13" s="29"/>
      <c r="F13" s="28">
        <f t="shared" si="3"/>
        <v>0</v>
      </c>
      <c r="G13" s="35"/>
      <c r="H13" s="35"/>
      <c r="I13" s="36">
        <f t="shared" si="4"/>
        <v>0</v>
      </c>
      <c r="J13" s="36">
        <f t="shared" si="5"/>
        <v>0</v>
      </c>
      <c r="K13" s="35"/>
      <c r="L13" s="36">
        <f t="shared" si="0"/>
        <v>0</v>
      </c>
      <c r="M13" s="36">
        <f t="shared" si="0"/>
        <v>0</v>
      </c>
      <c r="P13" s="22"/>
      <c r="Q13" s="36">
        <f t="shared" ref="Q13" si="10">P13+E13</f>
        <v>0</v>
      </c>
      <c r="R13" s="36">
        <f>Q13*C13</f>
        <v>0</v>
      </c>
      <c r="T13" s="25"/>
      <c r="U13" s="36">
        <f t="shared" si="7"/>
        <v>0</v>
      </c>
      <c r="V13" s="36">
        <f t="shared" si="2"/>
        <v>0</v>
      </c>
    </row>
    <row r="14" spans="2:26" x14ac:dyDescent="0.2">
      <c r="B14" s="21"/>
      <c r="C14" s="21"/>
      <c r="D14" s="29"/>
      <c r="E14" s="29"/>
      <c r="F14" s="28">
        <f t="shared" si="3"/>
        <v>0</v>
      </c>
      <c r="G14" s="35"/>
      <c r="H14" s="35"/>
      <c r="I14" s="36">
        <f t="shared" si="4"/>
        <v>0</v>
      </c>
      <c r="J14" s="36">
        <f t="shared" si="5"/>
        <v>0</v>
      </c>
      <c r="K14" s="35"/>
      <c r="L14" s="36">
        <f t="shared" si="0"/>
        <v>0</v>
      </c>
      <c r="M14" s="36">
        <f t="shared" si="0"/>
        <v>0</v>
      </c>
      <c r="P14" s="22"/>
      <c r="Q14" s="36">
        <f t="shared" ref="Q14" si="11">P14+E14</f>
        <v>0</v>
      </c>
      <c r="R14" s="36">
        <f>Q14*C14</f>
        <v>0</v>
      </c>
      <c r="T14" s="25"/>
      <c r="U14" s="36">
        <f t="shared" si="7"/>
        <v>0</v>
      </c>
      <c r="V14" s="36">
        <f t="shared" si="2"/>
        <v>0</v>
      </c>
    </row>
    <row r="15" spans="2:26" x14ac:dyDescent="0.2">
      <c r="B15" s="21"/>
      <c r="C15" s="21"/>
      <c r="D15" s="29"/>
      <c r="E15" s="29"/>
      <c r="F15" s="28">
        <f>E15-D15</f>
        <v>0</v>
      </c>
      <c r="G15" s="35"/>
      <c r="H15" s="35"/>
      <c r="I15" s="36">
        <f>D15*$C15</f>
        <v>0</v>
      </c>
      <c r="J15" s="36">
        <f>E15*$C15</f>
        <v>0</v>
      </c>
      <c r="K15" s="35"/>
      <c r="L15" s="36">
        <f t="shared" ref="L15" si="12">I15*12</f>
        <v>0</v>
      </c>
      <c r="M15" s="36">
        <f t="shared" ref="M15" si="13">J15*12</f>
        <v>0</v>
      </c>
      <c r="P15" s="22"/>
      <c r="Q15" s="36">
        <f>P15+E15</f>
        <v>0</v>
      </c>
      <c r="R15" s="36">
        <f>Q15*C15</f>
        <v>0</v>
      </c>
      <c r="T15" s="25"/>
      <c r="U15" s="36">
        <f>T15*150%</f>
        <v>0</v>
      </c>
      <c r="V15" s="36">
        <f t="shared" ref="V15" si="15">U15*C15</f>
        <v>0</v>
      </c>
    </row>
    <row r="16" spans="2:26" x14ac:dyDescent="0.2">
      <c r="B16" s="21"/>
      <c r="C16" s="21"/>
      <c r="D16" s="29"/>
      <c r="E16" s="29"/>
      <c r="F16" s="28">
        <f t="shared" ref="F16:F19" si="16">E16-D16</f>
        <v>0</v>
      </c>
      <c r="G16" s="35"/>
      <c r="H16" s="35"/>
      <c r="I16" s="37">
        <f t="shared" ref="I16:I19" si="17">D16*$C16</f>
        <v>0</v>
      </c>
      <c r="J16" s="37">
        <f t="shared" ref="J16:J19" si="18">E16*$C16</f>
        <v>0</v>
      </c>
      <c r="K16" s="35"/>
      <c r="L16" s="37">
        <f t="shared" ref="L16:L19" si="19">I16*12</f>
        <v>0</v>
      </c>
      <c r="M16" s="37">
        <f t="shared" ref="M16:M19" si="20">J16*12</f>
        <v>0</v>
      </c>
      <c r="P16" s="23"/>
      <c r="Q16" s="37">
        <f t="shared" ref="Q16:Q19" si="21">P16+E16</f>
        <v>0</v>
      </c>
      <c r="R16" s="37">
        <f t="shared" ref="R16:R19" si="22">Q16*C16</f>
        <v>0</v>
      </c>
      <c r="T16" s="26"/>
      <c r="U16" s="37">
        <f t="shared" ref="U16:U19" si="23">T16*150%</f>
        <v>0</v>
      </c>
      <c r="V16" s="37">
        <f t="shared" ref="V16:V19" si="24">U16*C16</f>
        <v>0</v>
      </c>
    </row>
    <row r="17" spans="2:22" x14ac:dyDescent="0.2">
      <c r="B17" s="21"/>
      <c r="C17" s="21"/>
      <c r="D17" s="29"/>
      <c r="E17" s="29"/>
      <c r="F17" s="28">
        <f t="shared" si="16"/>
        <v>0</v>
      </c>
      <c r="G17" s="35"/>
      <c r="H17" s="35"/>
      <c r="I17" s="37">
        <f t="shared" si="17"/>
        <v>0</v>
      </c>
      <c r="J17" s="37">
        <f t="shared" si="18"/>
        <v>0</v>
      </c>
      <c r="K17" s="35"/>
      <c r="L17" s="37">
        <f t="shared" si="19"/>
        <v>0</v>
      </c>
      <c r="M17" s="37">
        <f t="shared" si="20"/>
        <v>0</v>
      </c>
      <c r="P17" s="23"/>
      <c r="Q17" s="37">
        <f t="shared" si="21"/>
        <v>0</v>
      </c>
      <c r="R17" s="37">
        <f t="shared" si="22"/>
        <v>0</v>
      </c>
      <c r="T17" s="26"/>
      <c r="U17" s="37">
        <f t="shared" si="23"/>
        <v>0</v>
      </c>
      <c r="V17" s="37">
        <f t="shared" si="24"/>
        <v>0</v>
      </c>
    </row>
    <row r="18" spans="2:22" x14ac:dyDescent="0.2">
      <c r="B18" s="21"/>
      <c r="C18" s="21"/>
      <c r="D18" s="29"/>
      <c r="E18" s="29"/>
      <c r="F18" s="28">
        <f t="shared" si="16"/>
        <v>0</v>
      </c>
      <c r="G18" s="35"/>
      <c r="H18" s="35"/>
      <c r="I18" s="37">
        <f t="shared" si="17"/>
        <v>0</v>
      </c>
      <c r="J18" s="37">
        <f t="shared" si="18"/>
        <v>0</v>
      </c>
      <c r="K18" s="35"/>
      <c r="L18" s="37">
        <f t="shared" si="19"/>
        <v>0</v>
      </c>
      <c r="M18" s="37">
        <f t="shared" si="20"/>
        <v>0</v>
      </c>
      <c r="P18" s="23"/>
      <c r="Q18" s="37">
        <f t="shared" si="21"/>
        <v>0</v>
      </c>
      <c r="R18" s="37">
        <f t="shared" si="22"/>
        <v>0</v>
      </c>
      <c r="T18" s="26"/>
      <c r="U18" s="37">
        <f t="shared" si="23"/>
        <v>0</v>
      </c>
      <c r="V18" s="37">
        <f t="shared" si="24"/>
        <v>0</v>
      </c>
    </row>
    <row r="19" spans="2:22" ht="16" thickBot="1" x14ac:dyDescent="0.25">
      <c r="B19" s="21"/>
      <c r="C19" s="21"/>
      <c r="D19" s="29"/>
      <c r="E19" s="29"/>
      <c r="F19" s="28">
        <f t="shared" si="16"/>
        <v>0</v>
      </c>
      <c r="G19" s="35"/>
      <c r="H19" s="35"/>
      <c r="I19" s="38">
        <f t="shared" si="17"/>
        <v>0</v>
      </c>
      <c r="J19" s="38">
        <f t="shared" si="18"/>
        <v>0</v>
      </c>
      <c r="K19" s="35"/>
      <c r="L19" s="38">
        <f t="shared" si="19"/>
        <v>0</v>
      </c>
      <c r="M19" s="38">
        <f t="shared" si="20"/>
        <v>0</v>
      </c>
      <c r="P19" s="24"/>
      <c r="Q19" s="38">
        <f t="shared" si="21"/>
        <v>0</v>
      </c>
      <c r="R19" s="38">
        <f t="shared" si="22"/>
        <v>0</v>
      </c>
      <c r="T19" s="27"/>
      <c r="U19" s="38">
        <f t="shared" si="23"/>
        <v>0</v>
      </c>
      <c r="V19" s="38">
        <f t="shared" si="24"/>
        <v>0</v>
      </c>
    </row>
    <row r="20" spans="2:22" ht="16" thickTop="1" x14ac:dyDescent="0.2">
      <c r="D20" s="39"/>
      <c r="E20" s="39"/>
      <c r="F20" s="39"/>
      <c r="G20" s="40"/>
      <c r="H20" s="40"/>
      <c r="I20" s="41">
        <f>SUM(I9:I19)</f>
        <v>0</v>
      </c>
      <c r="J20" s="41">
        <f>SUM(J9:J19)</f>
        <v>0</v>
      </c>
      <c r="K20" s="42"/>
      <c r="L20" s="41">
        <f>SUM(L9:L19)</f>
        <v>0</v>
      </c>
      <c r="M20" s="41">
        <f>SUM(M9:M19)</f>
        <v>0</v>
      </c>
      <c r="N20" s="12"/>
      <c r="O20" s="12"/>
      <c r="P20" s="41">
        <f t="shared" ref="P20:Q20" si="25">SUM(P9:P19)</f>
        <v>0</v>
      </c>
      <c r="Q20" s="41">
        <f t="shared" si="25"/>
        <v>0</v>
      </c>
      <c r="R20" s="41">
        <f>SUM(R9:R19)</f>
        <v>0</v>
      </c>
      <c r="S20" s="12"/>
      <c r="T20" s="41">
        <f t="shared" ref="T20" si="26">SUM(T9:T19)</f>
        <v>0</v>
      </c>
      <c r="U20" s="41">
        <f t="shared" ref="U20" si="27">SUM(U9:U19)</f>
        <v>0</v>
      </c>
      <c r="V20" s="41">
        <f>SUM(V9:V19)</f>
        <v>0</v>
      </c>
    </row>
    <row r="21" spans="2:22" x14ac:dyDescent="0.2">
      <c r="B21" s="12"/>
      <c r="I21" s="31"/>
      <c r="J21" s="31"/>
      <c r="L21" s="32"/>
      <c r="M21" s="32"/>
      <c r="P21" s="32"/>
      <c r="Q21" s="32"/>
    </row>
    <row r="22" spans="2:22" x14ac:dyDescent="0.2">
      <c r="B22" s="13"/>
      <c r="C22" s="13"/>
      <c r="D22" s="13"/>
      <c r="I22" s="14" t="s">
        <v>20</v>
      </c>
      <c r="J22" s="37">
        <f>J20-I20</f>
        <v>0</v>
      </c>
      <c r="K22" s="5"/>
      <c r="L22" s="14" t="s">
        <v>20</v>
      </c>
      <c r="M22" s="43">
        <f>M20-L20</f>
        <v>0</v>
      </c>
      <c r="P22" s="48" t="s">
        <v>16</v>
      </c>
      <c r="Q22" s="49"/>
      <c r="R22" s="37">
        <f>R20</f>
        <v>0</v>
      </c>
    </row>
    <row r="23" spans="2:22" x14ac:dyDescent="0.2">
      <c r="C23" s="31"/>
      <c r="D23" s="31"/>
      <c r="E23" s="31"/>
      <c r="F23" s="31"/>
      <c r="I23" s="14" t="s">
        <v>21</v>
      </c>
      <c r="J23" s="44" t="e">
        <f>J22/I20</f>
        <v>#DIV/0!</v>
      </c>
      <c r="K23" s="15"/>
      <c r="L23" s="16" t="s">
        <v>21</v>
      </c>
      <c r="M23" s="20" t="e">
        <f>M22/L20</f>
        <v>#DIV/0!</v>
      </c>
      <c r="P23" s="50" t="s">
        <v>22</v>
      </c>
      <c r="Q23" s="51"/>
      <c r="R23" s="37">
        <f>V20</f>
        <v>0</v>
      </c>
    </row>
    <row r="24" spans="2:22" x14ac:dyDescent="0.2">
      <c r="I24" s="31"/>
      <c r="J24" s="31"/>
      <c r="P24" s="52" t="s">
        <v>23</v>
      </c>
      <c r="Q24" s="53"/>
      <c r="R24" s="45" t="str">
        <f>IF(R22&lt;R23,"YES","NO")</f>
        <v>NO</v>
      </c>
    </row>
    <row r="25" spans="2:22" ht="15" hidden="1" customHeight="1" x14ac:dyDescent="0.2">
      <c r="L25" s="17"/>
      <c r="M25" s="35"/>
    </row>
    <row r="26" spans="2:22" ht="12.75" hidden="1" customHeight="1" x14ac:dyDescent="0.2">
      <c r="L26" s="15"/>
      <c r="M26" s="18"/>
      <c r="R26" s="46"/>
      <c r="S26" s="46"/>
    </row>
    <row r="27" spans="2:22" ht="12.75" hidden="1" customHeight="1" x14ac:dyDescent="0.2">
      <c r="C27" s="31"/>
      <c r="D27" s="31"/>
      <c r="E27" s="31"/>
      <c r="M27" s="47"/>
    </row>
    <row r="28" spans="2:22" ht="12.75" hidden="1" customHeight="1" x14ac:dyDescent="0.2">
      <c r="C28" s="31"/>
      <c r="D28" s="31"/>
      <c r="E28" s="31"/>
      <c r="L28" s="17"/>
      <c r="M28" s="35"/>
    </row>
    <row r="29" spans="2:22" ht="12.75" hidden="1" customHeight="1" x14ac:dyDescent="0.2">
      <c r="C29" s="31"/>
      <c r="D29" s="31"/>
      <c r="E29" s="31"/>
      <c r="L29" s="15"/>
      <c r="M29" s="18"/>
    </row>
    <row r="30" spans="2:22" ht="12.75" hidden="1" customHeight="1" x14ac:dyDescent="0.2">
      <c r="C30" s="31"/>
      <c r="D30" s="31"/>
      <c r="E30" s="31"/>
    </row>
    <row r="31" spans="2:22" ht="12.75" hidden="1" customHeight="1" x14ac:dyDescent="0.2">
      <c r="C31" s="31"/>
      <c r="D31" s="31"/>
      <c r="E31" s="31"/>
    </row>
    <row r="32" spans="2:22" ht="12.75" hidden="1" customHeight="1" x14ac:dyDescent="0.2"/>
    <row r="33" ht="12.75" hidden="1" customHeight="1" x14ac:dyDescent="0.2"/>
    <row r="34" ht="12.75" hidden="1" customHeight="1" x14ac:dyDescent="0.2"/>
    <row r="35" ht="12.75" hidden="1" customHeight="1" x14ac:dyDescent="0.2"/>
    <row r="36" ht="12.75" hidden="1" customHeight="1" x14ac:dyDescent="0.2"/>
    <row r="37" ht="12.75" hidden="1" customHeight="1" x14ac:dyDescent="0.2"/>
    <row r="38" ht="12.75" hidden="1" customHeight="1" x14ac:dyDescent="0.2"/>
    <row r="41" ht="15" hidden="1" customHeight="1" x14ac:dyDescent="0.2"/>
    <row r="42" ht="12.75" hidden="1" customHeight="1" x14ac:dyDescent="0.2"/>
    <row r="43" ht="12.75" hidden="1" customHeight="1" x14ac:dyDescent="0.2"/>
    <row r="44" ht="12.75" hidden="1" customHeight="1" x14ac:dyDescent="0.2"/>
    <row r="45" ht="12.75" hidden="1" customHeight="1" x14ac:dyDescent="0.2"/>
    <row r="46" ht="12.75" hidden="1" customHeight="1" x14ac:dyDescent="0.2"/>
    <row r="47" ht="12.75" hidden="1" customHeight="1" x14ac:dyDescent="0.2"/>
    <row r="48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  <row r="53" ht="12.75" hidden="1" customHeight="1" x14ac:dyDescent="0.2"/>
    <row r="54" ht="12.75" hidden="1" customHeight="1" x14ac:dyDescent="0.2"/>
  </sheetData>
  <mergeCells count="13">
    <mergeCell ref="P22:Q22"/>
    <mergeCell ref="P23:Q23"/>
    <mergeCell ref="P24:Q24"/>
    <mergeCell ref="B3:M3"/>
    <mergeCell ref="B5:F5"/>
    <mergeCell ref="I5:M5"/>
    <mergeCell ref="P5:V5"/>
    <mergeCell ref="B7:D7"/>
    <mergeCell ref="E7:F7"/>
    <mergeCell ref="I7:J7"/>
    <mergeCell ref="L7:M7"/>
    <mergeCell ref="P7:R7"/>
    <mergeCell ref="T7:V7"/>
  </mergeCells>
  <conditionalFormatting sqref="R24">
    <cfRule type="cellIs" dxfId="1" priority="1" operator="equal">
      <formula>"NO"</formula>
    </cfRule>
    <cfRule type="cellIs" dxfId="0" priority="2" operator="equal">
      <formula>"YES"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 Grid</vt:lpstr>
    </vt:vector>
  </TitlesOfParts>
  <Manager/>
  <Company>Related Partners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Beatty, Claire</dc:creator>
  <cp:keywords/>
  <dc:description/>
  <cp:lastModifiedBy>Matthew Kodsi</cp:lastModifiedBy>
  <cp:revision/>
  <dcterms:created xsi:type="dcterms:W3CDTF">2025-10-14T17:16:01Z</dcterms:created>
  <dcterms:modified xsi:type="dcterms:W3CDTF">2026-07-15T02:19:50Z</dcterms:modified>
  <cp:category/>
  <cp:contentStatus/>
</cp:coreProperties>
</file>